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SKz3p6NscNpx1EDPe5Q+ft73fhf4hcvDUET3+Ly0xC4="/>
    </ext>
  </extLst>
</workbook>
</file>

<file path=xl/sharedStrings.xml><?xml version="1.0" encoding="utf-8"?>
<sst xmlns="http://schemas.openxmlformats.org/spreadsheetml/2006/main" count="24" uniqueCount="19">
  <si>
    <t>Data Analysis</t>
  </si>
  <si>
    <t>As of:</t>
  </si>
  <si>
    <t>SPY today</t>
  </si>
  <si>
    <t>Purchase Date</t>
  </si>
  <si>
    <t>Price of Stock Today</t>
  </si>
  <si>
    <t>Purchase Price</t>
  </si>
  <si>
    <t>SPY close on Purchase Date</t>
  </si>
  <si>
    <t>Days since trade</t>
  </si>
  <si>
    <t>Profit (or loss) on trade</t>
  </si>
  <si>
    <t>% profit or loss on trade</t>
  </si>
  <si>
    <t>Annualized percentage profit (or loss) on trade</t>
  </si>
  <si>
    <t>Profit (or loss) on alternative SPY trade</t>
  </si>
  <si>
    <t>% profit (or loss) on alternative SPY trade</t>
  </si>
  <si>
    <t>Annualized % profit (or loss) on alternative SPY trade</t>
  </si>
  <si>
    <t>Today's annualized alpha</t>
  </si>
  <si>
    <t>DIA</t>
  </si>
  <si>
    <t>GLD</t>
  </si>
  <si>
    <t>SLV</t>
  </si>
  <si>
    <t>MRK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</si>
</sst>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/M/YYYY"/>
    <numFmt numFmtId="165" formatCode="&quot;$&quot;#,##0.00_);[Red]\(&quot;$&quot;#,##0.00\)"/>
    <numFmt numFmtId="166" formatCode="m/d/yy"/>
    <numFmt numFmtId="167" formatCode="0.00_);[Red]\(0.00\)"/>
  </numFmts>
  <fonts count="4">
    <font>
      <sz val="11.0"/>
      <color theme="1"/>
      <name val="Aptos Narrow"/>
      <scheme val="minor"/>
    </font>
    <font>
      <color theme="1"/>
      <name val="Aptos Narrow"/>
      <scheme val="minor"/>
    </font>
    <font>
      <sz val="11.0"/>
      <color theme="1"/>
      <name val="Aptos Narrow"/>
    </font>
    <font>
      <sz val="11.0"/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164" xfId="0" applyFont="1" applyNumberFormat="1"/>
    <xf borderId="0" fillId="0" fontId="2" numFmtId="2" xfId="0" applyFont="1" applyNumberFormat="1"/>
    <xf borderId="0" fillId="0" fontId="2" numFmtId="10" xfId="0" applyFont="1" applyNumberFormat="1"/>
    <xf borderId="0" fillId="0" fontId="2" numFmtId="165" xfId="0" applyFont="1" applyNumberFormat="1"/>
    <xf borderId="0" fillId="0" fontId="2" numFmtId="166" xfId="0" applyFont="1" applyNumberFormat="1"/>
    <xf borderId="0" fillId="0" fontId="2" numFmtId="166" xfId="0" applyAlignment="1" applyFont="1" applyNumberFormat="1">
      <alignment shrinkToFit="0" wrapText="1"/>
    </xf>
    <xf borderId="0" fillId="0" fontId="2" numFmtId="2" xfId="0" applyAlignment="1" applyFont="1" applyNumberFormat="1">
      <alignment shrinkToFit="0" wrapText="1"/>
    </xf>
    <xf borderId="0" fillId="0" fontId="2" numFmtId="10" xfId="0" applyAlignment="1" applyFont="1" applyNumberFormat="1">
      <alignment shrinkToFit="0" wrapText="1"/>
    </xf>
    <xf borderId="0" fillId="0" fontId="2" numFmtId="164" xfId="0" applyAlignment="1" applyFont="1" applyNumberFormat="1">
      <alignment shrinkToFit="0" wrapText="1"/>
    </xf>
    <xf borderId="0" fillId="0" fontId="1" numFmtId="166" xfId="0" applyFont="1" applyNumberFormat="1"/>
    <xf borderId="0" fillId="0" fontId="2" numFmtId="167" xfId="0" applyFont="1" applyNumberFormat="1"/>
    <xf borderId="0" fillId="0" fontId="2" numFmtId="0" xfId="0" applyAlignment="1" applyFont="1">
      <alignment shrinkToFit="0" wrapText="1"/>
    </xf>
    <xf borderId="0" fillId="0" fontId="3" numFmtId="164" xfId="0" applyAlignment="1" applyFont="1" applyNumberForma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63"/>
    <col customWidth="1" min="2" max="2" width="10.38"/>
    <col customWidth="1" min="3" max="26" width="8.63"/>
  </cols>
  <sheetData>
    <row r="1">
      <c r="A1" s="1" t="s">
        <v>0</v>
      </c>
    </row>
    <row r="2">
      <c r="A2" s="1" t="s">
        <v>1</v>
      </c>
      <c r="B2" s="2">
        <v>46059.0</v>
      </c>
      <c r="C2" s="3"/>
      <c r="H2" s="4"/>
      <c r="I2" s="4"/>
      <c r="K2" s="4"/>
      <c r="L2" s="4"/>
      <c r="M2" s="4"/>
    </row>
    <row r="3">
      <c r="A3" s="1" t="s">
        <v>2</v>
      </c>
      <c r="B3" s="5">
        <v>690.62</v>
      </c>
      <c r="C3" s="3"/>
      <c r="H3" s="4"/>
      <c r="I3" s="4"/>
      <c r="K3" s="4"/>
      <c r="L3" s="4"/>
      <c r="M3" s="4"/>
    </row>
    <row r="4">
      <c r="A4" s="6"/>
      <c r="B4" s="7" t="s">
        <v>3</v>
      </c>
      <c r="C4" s="8" t="s">
        <v>4</v>
      </c>
      <c r="D4" s="7" t="s">
        <v>5</v>
      </c>
      <c r="E4" s="7" t="s">
        <v>6</v>
      </c>
      <c r="F4" s="7" t="s">
        <v>7</v>
      </c>
      <c r="G4" s="7" t="s">
        <v>8</v>
      </c>
      <c r="H4" s="9" t="s">
        <v>9</v>
      </c>
      <c r="I4" s="9" t="s">
        <v>10</v>
      </c>
      <c r="J4" s="7" t="s">
        <v>11</v>
      </c>
      <c r="K4" s="9" t="s">
        <v>12</v>
      </c>
      <c r="L4" s="9" t="s">
        <v>13</v>
      </c>
      <c r="M4" s="9" t="s">
        <v>14</v>
      </c>
    </row>
    <row r="5">
      <c r="A5" s="6"/>
      <c r="B5" s="7"/>
      <c r="C5" s="8"/>
      <c r="D5" s="7"/>
      <c r="E5" s="7"/>
      <c r="F5" s="7"/>
      <c r="G5" s="7"/>
      <c r="H5" s="9"/>
      <c r="I5" s="9"/>
      <c r="J5" s="7"/>
      <c r="K5" s="9"/>
      <c r="L5" s="9"/>
      <c r="M5" s="9"/>
    </row>
    <row r="6">
      <c r="A6" s="1" t="s">
        <v>15</v>
      </c>
      <c r="B6" s="10">
        <v>44033.0</v>
      </c>
      <c r="C6" s="8">
        <v>501.03</v>
      </c>
      <c r="D6" s="1">
        <v>269.6</v>
      </c>
      <c r="E6" s="1">
        <v>325.01</v>
      </c>
      <c r="F6" s="1">
        <f>$B$2-B6</f>
        <v>2026</v>
      </c>
      <c r="G6" s="5">
        <f>C6-D6</f>
        <v>231.43</v>
      </c>
      <c r="H6" s="4">
        <f>G6/D6</f>
        <v>0.8584198813</v>
      </c>
      <c r="I6" s="4">
        <f>H6/(F6/365)</f>
        <v>0.1546511632</v>
      </c>
      <c r="J6" s="6">
        <f>$B$3-E6</f>
        <v>365.61</v>
      </c>
      <c r="K6" s="11">
        <f>J6/E6</f>
        <v>1.124919233</v>
      </c>
      <c r="L6" s="4">
        <f>K6/(F6/365)</f>
        <v>0.2026631393</v>
      </c>
      <c r="M6" s="12">
        <f>(I6-L6)*100</f>
        <v>-4.801197604</v>
      </c>
    </row>
    <row r="7">
      <c r="B7" s="10"/>
      <c r="C7" s="8"/>
      <c r="G7" s="5"/>
      <c r="H7" s="4"/>
      <c r="I7" s="4"/>
      <c r="J7" s="5"/>
      <c r="K7" s="4"/>
      <c r="L7" s="4"/>
      <c r="M7" s="12"/>
    </row>
    <row r="8">
      <c r="A8" s="1" t="s">
        <v>16</v>
      </c>
      <c r="B8" s="10">
        <v>44760.0</v>
      </c>
      <c r="C8" s="8">
        <v>455.45</v>
      </c>
      <c r="D8" s="1">
        <v>159.34</v>
      </c>
      <c r="E8" s="1">
        <v>381.95</v>
      </c>
      <c r="F8" s="1">
        <f t="shared" ref="F8:F9" si="1">$B$2-B8</f>
        <v>1299</v>
      </c>
      <c r="G8" s="5">
        <v>261.95</v>
      </c>
      <c r="H8" s="4">
        <f t="shared" ref="H8:H9" si="2">G8/D8</f>
        <v>1.643968872</v>
      </c>
      <c r="I8" s="4">
        <f t="shared" ref="I8:I9" si="3">H8/(F8/365)</f>
        <v>0.4619312072</v>
      </c>
      <c r="J8" s="5">
        <f t="shared" ref="J8:J9" si="4">$B$3-E8</f>
        <v>308.67</v>
      </c>
      <c r="K8" s="4">
        <f t="shared" ref="K8:K9" si="5">J8/E8</f>
        <v>0.808142427</v>
      </c>
      <c r="L8" s="4">
        <f t="shared" ref="L8:L9" si="6">K8/(F8/365)</f>
        <v>0.2270762016</v>
      </c>
      <c r="M8" s="12">
        <f t="shared" ref="M8:M9" si="7">(I8-L8)*100</f>
        <v>23.48550056</v>
      </c>
    </row>
    <row r="9">
      <c r="A9" s="1" t="s">
        <v>16</v>
      </c>
      <c r="B9" s="10">
        <v>45943.0</v>
      </c>
      <c r="C9" s="8">
        <v>455.46</v>
      </c>
      <c r="D9" s="1">
        <v>376.73</v>
      </c>
      <c r="E9" s="1">
        <v>663.04</v>
      </c>
      <c r="F9" s="1">
        <f t="shared" si="1"/>
        <v>116</v>
      </c>
      <c r="G9" s="5">
        <f>C9-D9</f>
        <v>78.73</v>
      </c>
      <c r="H9" s="4">
        <f t="shared" si="2"/>
        <v>0.2089825605</v>
      </c>
      <c r="I9" s="4">
        <f t="shared" si="3"/>
        <v>0.6575744359</v>
      </c>
      <c r="J9" s="5">
        <f t="shared" si="4"/>
        <v>27.58</v>
      </c>
      <c r="K9" s="4">
        <f t="shared" si="5"/>
        <v>0.04159628378</v>
      </c>
      <c r="L9" s="4">
        <f t="shared" si="6"/>
        <v>0.1308848585</v>
      </c>
      <c r="M9" s="12">
        <f t="shared" si="7"/>
        <v>52.66895775</v>
      </c>
    </row>
    <row r="10">
      <c r="B10" s="10"/>
      <c r="C10" s="8"/>
      <c r="G10" s="5"/>
      <c r="H10" s="4"/>
      <c r="I10" s="4"/>
      <c r="J10" s="5"/>
      <c r="K10" s="4"/>
      <c r="L10" s="4"/>
      <c r="M10" s="12"/>
    </row>
    <row r="11">
      <c r="A11" s="1" t="s">
        <v>17</v>
      </c>
      <c r="B11" s="10">
        <v>44760.0</v>
      </c>
      <c r="C11" s="8">
        <v>70.19</v>
      </c>
      <c r="D11" s="3">
        <v>17.32</v>
      </c>
      <c r="E11" s="1">
        <v>381.95</v>
      </c>
      <c r="F11" s="1">
        <f>$B$2-B11</f>
        <v>1299</v>
      </c>
      <c r="G11" s="5">
        <f>C11-D11</f>
        <v>52.87</v>
      </c>
      <c r="H11" s="4">
        <f>G11/D11</f>
        <v>3.052540416</v>
      </c>
      <c r="I11" s="4">
        <f>H11/(F11/365)</f>
        <v>0.8577192084</v>
      </c>
      <c r="J11" s="5">
        <f>$B$3-E11</f>
        <v>308.67</v>
      </c>
      <c r="K11" s="4">
        <f>J11/E11</f>
        <v>0.808142427</v>
      </c>
      <c r="L11" s="4">
        <f>K11/(F11/365)</f>
        <v>0.2270762016</v>
      </c>
      <c r="M11" s="12">
        <f>(I11-L11)*100</f>
        <v>63.06430068</v>
      </c>
    </row>
    <row r="12">
      <c r="B12" s="13"/>
      <c r="C12" s="8"/>
      <c r="H12" s="4"/>
      <c r="I12" s="4"/>
      <c r="K12" s="4"/>
      <c r="L12" s="4"/>
      <c r="M12" s="4"/>
    </row>
    <row r="13">
      <c r="A13" s="1" t="s">
        <v>18</v>
      </c>
      <c r="B13" s="10">
        <v>38559.0</v>
      </c>
      <c r="C13" s="8">
        <v>121.93</v>
      </c>
      <c r="D13" s="1">
        <v>29.81</v>
      </c>
      <c r="E13" s="3">
        <v>84.33</v>
      </c>
      <c r="F13" s="1">
        <f t="shared" ref="F13:F17" si="8">$B$2-B13</f>
        <v>7500</v>
      </c>
      <c r="G13" s="5">
        <f t="shared" ref="G13:G17" si="9">C13-D13</f>
        <v>92.12</v>
      </c>
      <c r="H13" s="4">
        <f t="shared" ref="H13:H17" si="10">G13/D13</f>
        <v>3.090238175</v>
      </c>
      <c r="I13" s="4">
        <f t="shared" ref="I13:I17" si="11">H13/(F13/365)</f>
        <v>0.1503915912</v>
      </c>
      <c r="J13" s="5">
        <f t="shared" ref="J13:J17" si="12">$B$3-E13</f>
        <v>606.29</v>
      </c>
      <c r="K13" s="4">
        <f t="shared" ref="K13:K17" si="13">J13/E13</f>
        <v>7.189493656</v>
      </c>
      <c r="L13" s="4">
        <f t="shared" ref="L13:L17" si="14">K13/(F13/365)</f>
        <v>0.3498886913</v>
      </c>
      <c r="M13" s="12">
        <f t="shared" ref="M13:M17" si="15">(I13-L13)*100</f>
        <v>-19.94971001</v>
      </c>
    </row>
    <row r="14">
      <c r="A14" s="1" t="s">
        <v>18</v>
      </c>
      <c r="B14" s="10">
        <v>39827.0</v>
      </c>
      <c r="C14" s="8">
        <v>121.93</v>
      </c>
      <c r="D14" s="1">
        <v>26.4</v>
      </c>
      <c r="E14" s="3">
        <v>84.37</v>
      </c>
      <c r="F14" s="1">
        <f t="shared" si="8"/>
        <v>6232</v>
      </c>
      <c r="G14" s="5">
        <f t="shared" si="9"/>
        <v>95.53</v>
      </c>
      <c r="H14" s="4">
        <f t="shared" si="10"/>
        <v>3.618560606</v>
      </c>
      <c r="I14" s="4">
        <f t="shared" si="11"/>
        <v>0.2119343102</v>
      </c>
      <c r="J14" s="5">
        <f t="shared" si="12"/>
        <v>606.25</v>
      </c>
      <c r="K14" s="4">
        <f t="shared" si="13"/>
        <v>7.185610999</v>
      </c>
      <c r="L14" s="4">
        <f t="shared" si="14"/>
        <v>0.4208517353</v>
      </c>
      <c r="M14" s="12">
        <f t="shared" si="15"/>
        <v>-20.89174251</v>
      </c>
    </row>
    <row r="15">
      <c r="A15" s="1" t="s">
        <v>18</v>
      </c>
      <c r="B15" s="14">
        <v>45804.0</v>
      </c>
      <c r="C15" s="8">
        <v>121.93</v>
      </c>
      <c r="D15" s="1">
        <v>77.12</v>
      </c>
      <c r="E15" s="3">
        <v>591.15</v>
      </c>
      <c r="F15" s="1">
        <f t="shared" si="8"/>
        <v>255</v>
      </c>
      <c r="G15" s="5">
        <f t="shared" si="9"/>
        <v>44.81</v>
      </c>
      <c r="H15" s="4">
        <f t="shared" si="10"/>
        <v>0.5810425311</v>
      </c>
      <c r="I15" s="4">
        <f t="shared" si="11"/>
        <v>0.8316883289</v>
      </c>
      <c r="J15" s="5">
        <f t="shared" si="12"/>
        <v>99.47</v>
      </c>
      <c r="K15" s="4">
        <f t="shared" si="13"/>
        <v>0.1682652457</v>
      </c>
      <c r="L15" s="4">
        <f t="shared" si="14"/>
        <v>0.2408502537</v>
      </c>
      <c r="M15" s="12">
        <f t="shared" si="15"/>
        <v>59.08380752</v>
      </c>
    </row>
    <row r="16">
      <c r="A16" s="1" t="s">
        <v>18</v>
      </c>
      <c r="B16" s="14">
        <v>45902.0</v>
      </c>
      <c r="C16" s="8">
        <v>121.93</v>
      </c>
      <c r="D16" s="1">
        <v>85.24</v>
      </c>
      <c r="E16" s="3">
        <v>640.27</v>
      </c>
      <c r="F16" s="1">
        <f t="shared" si="8"/>
        <v>157</v>
      </c>
      <c r="G16" s="5">
        <f t="shared" si="9"/>
        <v>36.69</v>
      </c>
      <c r="H16" s="4">
        <f t="shared" si="10"/>
        <v>0.4304317222</v>
      </c>
      <c r="I16" s="4">
        <f t="shared" si="11"/>
        <v>1.000685214</v>
      </c>
      <c r="J16" s="5">
        <f t="shared" si="12"/>
        <v>50.35</v>
      </c>
      <c r="K16" s="4">
        <f t="shared" si="13"/>
        <v>0.0786386993</v>
      </c>
      <c r="L16" s="4">
        <f t="shared" si="14"/>
        <v>0.1828224538</v>
      </c>
      <c r="M16" s="12">
        <f t="shared" si="15"/>
        <v>81.78627602</v>
      </c>
    </row>
    <row r="17">
      <c r="A17" s="1" t="s">
        <v>18</v>
      </c>
      <c r="B17" s="14">
        <v>45992.0</v>
      </c>
      <c r="C17" s="8">
        <v>121.93</v>
      </c>
      <c r="D17" s="1">
        <v>105.08</v>
      </c>
      <c r="E17" s="3">
        <v>680.27</v>
      </c>
      <c r="F17" s="1">
        <f t="shared" si="8"/>
        <v>67</v>
      </c>
      <c r="G17" s="5">
        <f t="shared" si="9"/>
        <v>16.85</v>
      </c>
      <c r="H17" s="4">
        <f t="shared" si="10"/>
        <v>0.160354016</v>
      </c>
      <c r="I17" s="4">
        <f t="shared" si="11"/>
        <v>0.8735703856</v>
      </c>
      <c r="J17" s="5">
        <f t="shared" si="12"/>
        <v>10.35</v>
      </c>
      <c r="K17" s="4">
        <f t="shared" si="13"/>
        <v>0.01521454717</v>
      </c>
      <c r="L17" s="4">
        <f t="shared" si="14"/>
        <v>0.08288521963</v>
      </c>
      <c r="M17" s="12">
        <f t="shared" si="15"/>
        <v>79.0685166</v>
      </c>
    </row>
    <row r="18">
      <c r="B18" s="13"/>
      <c r="C18" s="8"/>
      <c r="H18" s="4"/>
      <c r="I18" s="4"/>
      <c r="K18" s="4"/>
      <c r="L18" s="4"/>
      <c r="M18" s="4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2026-02-17T19:30:45Z</dcterms:created>
  <dc:creator>grant bocaclosings.com</dc:creator>
</cp:coreProperties>
</file>